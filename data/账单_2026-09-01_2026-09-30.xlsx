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codeName="ThisWorkbook"/>
  <bookViews>
    <workbookView visibility="visible" showHorizontalScroll="true" showVerticalScroll="true" showSheetTabs="true" windowHeight="17655" tabRatio="600" autoFilterDateGrouping="true"/>
  </bookViews>
  <sheets>
    <sheet name="文本模型明细" sheetId="1" r:id="rId1" state="visible"/>
  </sheets>
  <definedNames/>
  <calcPr calcId="191029" fullCalcOnLoad="true"/>
</workbook>
</file>

<file path=xl/sharedStrings.xml><?xml version="1.0" encoding="utf-8"?>
<sst xmlns="http://schemas.openxmlformats.org/spreadsheetml/2006/main" count="17" uniqueCount="17">
  <si>
    <t>gpt-4o</t>
  </si>
  <si>
    <t>AZ</t>
  </si>
  <si>
    <t>否</t>
  </si>
  <si>
    <t>该分组按站内表达式（billing_expr）计费，刊例由站点自有公式算出，不具备外部对标价，无法反推折扣；本行折扣取站点实际计费倍率，请人工确认合同折扣；折扣为反推值（价表无该分组折扣，按 Σ结算/Σ总金额倒算）</t>
  </si>
  <si>
    <t>gpt-5-mini</t>
  </si>
  <si>
    <t>gpt-5.4</t>
  </si>
  <si>
    <t/>
  </si>
  <si>
    <t>阶梯计费，本行命中档位：base；本行跨档，单价不适用，请按总金额核对；该分组按站内表达式（billing_expr）计费，刊例由站点自有公式算出，不具备外部对标价，无法反推折扣；本行折扣取站点实际计费倍率，请人工确认合同折扣；折扣为反推值（价表无该分组折扣，按 Σ结算/Σ总金额倒算）</t>
  </si>
  <si>
    <t>Codex</t>
  </si>
  <si>
    <t>阶梯计费，本行命中档位：base；本行跨档，单价不适用，请按总金额核对；该分组按站内表达式（billing_expr）计费，刊例由站点自有公式算出，不具备外部对标价，无法反推折扣；本行折扣取站点实际计费倍率，请人工确认合同折扣</t>
  </si>
  <si>
    <t>gpt-5.5</t>
  </si>
  <si>
    <t>gpt-image-2-all</t>
  </si>
  <si>
    <t>anti</t>
  </si>
  <si>
    <t>折扣为反推值（价表无该分组折扣，按 Σ结算/Σ总金额倒算）</t>
  </si>
  <si>
    <t>claude-opus-4-6</t>
  </si>
  <si>
    <t>ClaudeCode</t>
  </si>
  <si>
    <t>合计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</si>
</sst>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yyyy\-mm"/>
    <numFmt numFmtId="165" formatCode="_ * #,##0.00_ ;_ * \-#,##0.00_ ;_ * &quot;-&quot;??_ ;_ @_ "/>
    <numFmt numFmtId="166" formatCode="0.0000"/>
    <numFmt numFmtId="167" formatCode="0.000"/>
    <numFmt numFmtId="168" formatCode="YYYY-MM"/>
  </numFmts>
  <fonts count="26">
    <font>
      <name val="微软雅黑"/>
      <charset val="134"/>
      <color theme="1"/>
      <sz val="11"/>
    </font>
    <font>
      <name val="微软雅黑"/>
      <charset val="134"/>
      <color theme="1"/>
      <sz val="10"/>
    </font>
    <font>
      <name val="宋体"/>
      <charset val="134"/>
      <b val="1"/>
      <color rgb="FFFF0000"/>
      <sz val="11"/>
    </font>
    <font>
      <name val="宋体"/>
      <charset val="134"/>
      <color rgb="FF000000"/>
      <sz val="11"/>
    </font>
    <font>
      <name val="微软雅黑"/>
      <charset val="134"/>
      <b val="1"/>
      <sz val="11"/>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family val="2"/>
      <b val="1"/>
      <color/>
    </font>
  </fonts>
  <fills count="35">
    <fill>
      <patternFill/>
    </fill>
    <fill>
      <patternFill patternType="gray125"/>
    </fill>
    <fill>
      <patternFill patternType="solid">
        <fgColor rgb="FFFFFF00"/>
        <bgColor indexed="64"/>
      </patternFill>
    </fill>
    <fill>
      <patternFill patternType="solid">
        <fgColor rgb="FFF5F7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true"/>
      </left>
      <right style="thin">
        <color auto="true"/>
      </right>
      <top style="thin">
        <color auto="true"/>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true">
      <alignment vertical="center"/>
    </xf>
    <xf numFmtId="43" fontId="5" fillId="0" borderId="0" applyAlignment="true">
      <alignment vertical="center"/>
    </xf>
    <xf numFmtId="44" fontId="5" fillId="0" borderId="0" applyAlignment="true">
      <alignment vertical="center"/>
    </xf>
    <xf numFmtId="9" fontId="5" fillId="0" borderId="0" applyAlignment="true">
      <alignment vertical="center"/>
    </xf>
    <xf numFmtId="41" fontId="5" fillId="0" borderId="0" applyAlignment="true">
      <alignment vertical="center"/>
    </xf>
    <xf numFmtId="42" fontId="5" fillId="0" borderId="0" applyAlignment="true">
      <alignment vertical="center"/>
    </xf>
    <xf numFmtId="0" fontId="6" fillId="0" borderId="0" applyAlignment="true">
      <alignment vertical="center"/>
    </xf>
    <xf numFmtId="0" fontId="7" fillId="0" borderId="0" applyAlignment="true">
      <alignment vertical="center"/>
    </xf>
    <xf numFmtId="0" fontId="5" fillId="4" borderId="2" applyAlignment="true">
      <alignment vertical="center"/>
    </xf>
    <xf numFmtId="0" fontId="8" fillId="0" borderId="0" applyAlignment="true">
      <alignment vertical="center"/>
    </xf>
    <xf numFmtId="0" fontId="9" fillId="0" borderId="0" applyAlignment="true">
      <alignment vertical="center"/>
    </xf>
    <xf numFmtId="0" fontId="10" fillId="0" borderId="0" applyAlignment="true">
      <alignment vertical="center"/>
    </xf>
    <xf numFmtId="0" fontId="11" fillId="0" borderId="3" applyAlignment="true">
      <alignment vertical="center"/>
    </xf>
    <xf numFmtId="0" fontId="12" fillId="0" borderId="3" applyAlignment="true">
      <alignment vertical="center"/>
    </xf>
    <xf numFmtId="0" fontId="13" fillId="0" borderId="4" applyAlignment="true">
      <alignment vertical="center"/>
    </xf>
    <xf numFmtId="0" fontId="13" fillId="0" borderId="0" applyAlignment="true">
      <alignment vertical="center"/>
    </xf>
    <xf numFmtId="0" fontId="14" fillId="5" borderId="5" applyAlignment="true">
      <alignment vertical="center"/>
    </xf>
    <xf numFmtId="0" fontId="15" fillId="6" borderId="6" applyAlignment="true">
      <alignment vertical="center"/>
    </xf>
    <xf numFmtId="0" fontId="16" fillId="6" borderId="5" applyAlignment="true">
      <alignment vertical="center"/>
    </xf>
    <xf numFmtId="0" fontId="17" fillId="7" borderId="7" applyAlignment="true">
      <alignment vertical="center"/>
    </xf>
    <xf numFmtId="0" fontId="18" fillId="0" borderId="8" applyAlignment="true">
      <alignment vertical="center"/>
    </xf>
    <xf numFmtId="0" fontId="19" fillId="0" borderId="9" applyAlignment="true">
      <alignment vertical="center"/>
    </xf>
    <xf numFmtId="0" fontId="20" fillId="8" borderId="0" applyAlignment="true">
      <alignment vertical="center"/>
    </xf>
    <xf numFmtId="0" fontId="21" fillId="9" borderId="0" applyAlignment="true">
      <alignment vertical="center"/>
    </xf>
    <xf numFmtId="0" fontId="22" fillId="10" borderId="0" applyAlignment="true">
      <alignment vertical="center"/>
    </xf>
    <xf numFmtId="0" fontId="23" fillId="11" borderId="0" applyAlignment="true">
      <alignment vertical="center"/>
    </xf>
    <xf numFmtId="0" fontId="24" fillId="12" borderId="0" applyAlignment="true">
      <alignment vertical="center"/>
    </xf>
    <xf numFmtId="0" fontId="24" fillId="13" borderId="0" applyAlignment="true">
      <alignment vertical="center"/>
    </xf>
    <xf numFmtId="0" fontId="23" fillId="14" borderId="0" applyAlignment="true">
      <alignment vertical="center"/>
    </xf>
    <xf numFmtId="0" fontId="23" fillId="15" borderId="0" applyAlignment="true">
      <alignment vertical="center"/>
    </xf>
    <xf numFmtId="0" fontId="24" fillId="16" borderId="0" applyAlignment="true">
      <alignment vertical="center"/>
    </xf>
    <xf numFmtId="0" fontId="24" fillId="17" borderId="0" applyAlignment="true">
      <alignment vertical="center"/>
    </xf>
    <xf numFmtId="0" fontId="23" fillId="18" borderId="0" applyAlignment="true">
      <alignment vertical="center"/>
    </xf>
    <xf numFmtId="0" fontId="23" fillId="19" borderId="0" applyAlignment="true">
      <alignment vertical="center"/>
    </xf>
    <xf numFmtId="0" fontId="24" fillId="20" borderId="0" applyAlignment="true">
      <alignment vertical="center"/>
    </xf>
    <xf numFmtId="0" fontId="24" fillId="21" borderId="0" applyAlignment="true">
      <alignment vertical="center"/>
    </xf>
    <xf numFmtId="0" fontId="23" fillId="22" borderId="0" applyAlignment="true">
      <alignment vertical="center"/>
    </xf>
    <xf numFmtId="0" fontId="23" fillId="23" borderId="0" applyAlignment="true">
      <alignment vertical="center"/>
    </xf>
    <xf numFmtId="0" fontId="24" fillId="24" borderId="0" applyAlignment="true">
      <alignment vertical="center"/>
    </xf>
    <xf numFmtId="0" fontId="24" fillId="25" borderId="0" applyAlignment="true">
      <alignment vertical="center"/>
    </xf>
    <xf numFmtId="0" fontId="23" fillId="26" borderId="0" applyAlignment="true">
      <alignment vertical="center"/>
    </xf>
    <xf numFmtId="0" fontId="23" fillId="27" borderId="0" applyAlignment="true">
      <alignment vertical="center"/>
    </xf>
    <xf numFmtId="0" fontId="24" fillId="28" borderId="0" applyAlignment="true">
      <alignment vertical="center"/>
    </xf>
    <xf numFmtId="0" fontId="24" fillId="29" borderId="0" applyAlignment="true">
      <alignment vertical="center"/>
    </xf>
    <xf numFmtId="0" fontId="23" fillId="30" borderId="0" applyAlignment="true">
      <alignment vertical="center"/>
    </xf>
    <xf numFmtId="0" fontId="23" fillId="31" borderId="0" applyAlignment="true">
      <alignment vertical="center"/>
    </xf>
    <xf numFmtId="0" fontId="24" fillId="32" borderId="0" applyAlignment="true">
      <alignment vertical="center"/>
    </xf>
    <xf numFmtId="0" fontId="24" fillId="33" borderId="0" applyAlignment="true">
      <alignment vertical="center"/>
    </xf>
    <xf numFmtId="0" fontId="23" fillId="34" borderId="0" applyAlignment="true">
      <alignment vertical="center"/>
    </xf>
  </cellStyleXfs>
  <cellXfs count="21">
    <xf numFmtId="0" fontId="0" fillId="0" borderId="0" xfId="0" quotePrefix="false" pivotButton="false" applyAlignment="true">
      <alignment vertical="center"/>
    </xf>
    <xf numFmtId="0" fontId="1" fillId="0" borderId="0" xfId="0" quotePrefix="false" pivotButton="false" applyAlignment="true">
      <alignment vertical="center" wrapText="true"/>
    </xf>
    <xf numFmtId="0" fontId="2" fillId="2" borderId="1" xfId="0" quotePrefix="false" pivotButton="false" applyAlignment="true">
      <alignment horizontal="center" vertical="center" wrapText="true"/>
    </xf>
    <xf numFmtId="3" fontId="2" fillId="2" borderId="1" xfId="0" quotePrefix="false" pivotButton="false" applyAlignment="true">
      <alignment horizontal="center" vertical="center" wrapText="true"/>
    </xf>
    <xf numFmtId="0" fontId="3" fillId="3" borderId="1" xfId="0" quotePrefix="false" pivotButton="false" applyAlignment="true">
      <alignment vertical="center" wrapText="true"/>
    </xf>
    <xf numFmtId="3" fontId="3" fillId="3" borderId="1" xfId="0" quotePrefix="false" pivotButton="false" applyAlignment="true">
      <alignment vertical="center" wrapText="true"/>
    </xf>
    <xf numFmtId="0" fontId="1" fillId="0" borderId="1" xfId="0" quotePrefix="false" pivotButton="false" applyAlignment="true">
      <alignment vertical="center" wrapText="true"/>
    </xf>
    <xf numFmtId="164" fontId="0" fillId="0" borderId="0" xfId="0" quotePrefix="false" pivotButton="false"/>
    <xf numFmtId="165" fontId="0" fillId="0" borderId="0" xfId="0" quotePrefix="false" pivotButton="false"/>
    <xf numFmtId="0" fontId="4" fillId="0" borderId="0" xfId="0" quotePrefix="false" pivotButton="false"/>
    <xf numFmtId="165" fontId="4" fillId="0" borderId="0" xfId="0" quotePrefix="false" pivotButton="false"/>
    <xf numFmtId="0" fontId="0" fillId="0" borderId="0" xfId="0" quotePrefix="false" pivotButton="false"/>
    <xf numFmtId="0" fontId="3" fillId="0" borderId="1" xfId="0" quotePrefix="false" pivotButton="false" applyAlignment="true">
      <alignment vertical="center" wrapText="true"/>
    </xf>
    <xf numFmtId="0" fontId="2" fillId="2" borderId="0" xfId="0" quotePrefix="false" pivotButton="false" applyAlignment="true">
      <alignment horizontal="center" vertical="center" wrapText="true"/>
    </xf>
    <xf numFmtId="0" fontId="3" fillId="3" borderId="0" xfId="0" quotePrefix="false" pivotButton="false" applyAlignment="true">
      <alignment vertical="center" wrapText="true"/>
    </xf>
    <xf numFmtId="166" fontId="0" fillId="0" borderId="0" xfId="0" applyNumberFormat="true" applyAlignment="false">
      <alignment/>
    </xf>
    <xf numFmtId="167" fontId="0" fillId="0" borderId="0" xfId="0" applyNumberFormat="true" applyAlignment="false">
      <alignment/>
    </xf>
    <xf numFmtId="168" fontId="0" fillId="0" borderId="0" xfId="0" applyNumberFormat="true" applyAlignment="false">
      <alignment/>
    </xf>
    <xf numFmtId="166" fontId="25" fillId="0" borderId="0" xfId="0" applyNumberFormat="true" applyFont="true" applyAlignment="false">
      <alignment/>
    </xf>
    <xf numFmtId="167" fontId="25" fillId="0" borderId="0" xfId="0" applyNumberFormat="true" applyFont="true" applyAlignment="false">
      <alignment/>
    </xf>
    <xf numFmtId="0" fontId="25" fillId="0" borderId="0" xfId="0" applyFont="true" applyAlignment="false">
      <alignmen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codeName="Sheet1">
    <outlinePr summaryBelow="true" summaryRight="true"/>
    <pageSetUpPr/>
  </sheetPr>
  <dimension ref="A1:AC2"/>
  <sheetViews>
    <sheetView tabSelected="true" topLeftCell="H1" zoomScale="84" zoomScaleNormal="84" workbookViewId="0">
      <selection activeCell="Z56" sqref="Z56"/>
    </sheetView>
  </sheetViews>
  <sheetFormatPr baseColWidth="8" defaultColWidth="11.3333333333333" defaultRowHeight="16.5"/>
  <cols>
    <col customWidth="true" max="1" min="1" style="1" width="11.3333333333333"/>
    <col customWidth="true" max="2" min="2" style="1" width="26.8888888888889"/>
    <col customWidth="true" max="3" min="3" style="1" width="20.2222222222222"/>
    <col customWidth="true" max="4" min="4" style="1" width="27.8888888888889"/>
    <col customWidth="true" max="5" min="5" style="1" width="15.1111111111111"/>
    <col customWidth="true" max="6" min="6" style="1" width="38.6666666666667"/>
    <col customWidth="true" max="7" min="7" style="1" width="27.1111111111111"/>
    <col customWidth="true" max="8" min="8" style="1" width="40.4444444444444"/>
    <col customWidth="true" max="10" min="9" style="1" width="16.6666666666667"/>
    <col customWidth="true" max="12" min="11" style="1" width="12.8888888888889"/>
    <col customWidth="true" max="13" min="13" style="1" width="15.3333333333333"/>
    <col customWidth="true" max="14" min="14" style="1" width="17.6666666666667"/>
    <col customWidth="true" max="15" min="15" style="1" width="11.3333333333333"/>
    <col customWidth="true" max="16" min="16" style="1" width="19.5555555555556"/>
    <col customWidth="true" max="17" min="17" style="1" width="14.4444444444444"/>
    <col customWidth="true" max="20" min="18" style="1" width="12.8888888888889"/>
    <col customWidth="true" max="24" min="21" style="1" width="11.3333333333333"/>
    <col customWidth="true" max="25" min="25" style="1" width="15"/>
    <col customWidth="true" max="16384" min="26" style="1" width="11.3333333333333"/>
  </cols>
  <sheetData>
    <row r="1" s="11" ht="54" customHeight="true">
      <c r="A1" s="2" t="inlineStr">
        <is>
          <t>账期月份</t>
        </is>
      </c>
      <c r="B1" s="2" t="inlineStr">
        <is>
          <t>模型名称</t>
        </is>
      </c>
      <c r="C1" s="2" t="inlineStr">
        <is>
          <t>分组标识</t>
        </is>
      </c>
      <c r="D1" s="3" t="inlineStr">
        <is>
          <t>缓存未命中Token量</t>
        </is>
      </c>
      <c r="E1" s="3" t="inlineStr">
        <is>
          <t>缓存未命中Token单价（美金/百万token）</t>
        </is>
      </c>
      <c r="F1" s="3" t="inlineStr">
        <is>
          <t>缓存命中Token量</t>
        </is>
      </c>
      <c r="G1" s="3" t="inlineStr">
        <is>
          <t>缓存命中Token单价（美金/百万token）</t>
        </is>
      </c>
      <c r="H1" s="3" t="inlineStr">
        <is>
          <t>输出Token量</t>
        </is>
      </c>
      <c r="I1" s="3" t="inlineStr">
        <is>
          <t>输出Token单价（美金/百万token）</t>
        </is>
      </c>
      <c r="J1" s="3" t="inlineStr">
        <is>
          <t>5分钟显式缓存创建Token量</t>
        </is>
      </c>
      <c r="K1" s="3" t="inlineStr">
        <is>
          <t>5分钟显式缓存创建Token单价（美金/百万token）</t>
        </is>
      </c>
      <c r="L1" s="3" t="inlineStr">
        <is>
          <t>1小时显式缓存创建Token量</t>
        </is>
      </c>
      <c r="M1" s="3" t="inlineStr">
        <is>
          <t>1小时显式缓存创建Token单价（美金/百万token）</t>
        </is>
      </c>
      <c r="N1" s="3" t="inlineStr">
        <is>
          <t>总Token量(公式)</t>
        </is>
      </c>
      <c r="O1" s="2" t="inlineStr">
        <is>
          <t>网页搜索次数</t>
        </is>
      </c>
      <c r="P1" s="2" t="inlineStr">
        <is>
          <t>图片/视频品质</t>
        </is>
      </c>
      <c r="Q1" s="2" t="inlineStr">
        <is>
          <t>图片张数（张）</t>
        </is>
      </c>
      <c r="R1" s="2" t="inlineStr">
        <is>
          <t>视频时长(秒)</t>
        </is>
      </c>
      <c r="S1" s="2" t="inlineStr">
        <is>
          <t>总金额（人民币）</t>
        </is>
      </c>
      <c r="T1" s="2" t="inlineStr">
        <is>
          <t>折扣</t>
        </is>
      </c>
      <c r="U1" s="2" t="inlineStr">
        <is>
          <t>计量单位</t>
        </is>
      </c>
      <c r="V1" s="2" t="inlineStr">
        <is>
          <t>结算金额（人民币）</t>
        </is>
      </c>
      <c r="W1" s="2" t="inlineStr">
        <is>
          <t>结算金额（美金）</t>
        </is>
      </c>
      <c r="X1" s="2" t="inlineStr">
        <is>
          <t>是否与原厂定价一致</t>
        </is>
      </c>
      <c r="Y1" s="2" t="inlineStr">
        <is>
          <t>刊例价-命中列表价
（与原厂不一致时需填写）</t>
        </is>
      </c>
      <c r="Z1" s="2" t="inlineStr">
        <is>
          <t>刊例价-未命中列表价
（与原厂不一致时需填写）</t>
        </is>
      </c>
      <c r="AA1" s="2" t="inlineStr">
        <is>
          <t>刊例价-输出列表价
（与原厂不一致时需填写）</t>
        </is>
      </c>
      <c r="AB1" s="2" t="inlineStr">
        <is>
          <t>备注</t>
        </is>
      </c>
      <c r="AC1" s="13" t="inlineStr">
        <is>
          <t>官方刊例（美金）</t>
        </is>
      </c>
    </row>
    <row r="2" s="11" ht="40.5" customHeight="true">
      <c r="A2" s="4" t="n"/>
      <c r="B2" s="4" t="n"/>
      <c r="C2" s="4" t="inlineStr">
        <is>
          <t>同个模型不同折扣/单价的在此标识</t>
        </is>
      </c>
      <c r="D2" s="5" t="inlineStr">
        <is>
          <t>注：若区分文字/图片等输入价格，需要分开呈现（如gemini-3.1-flash-image-preview）</t>
        </is>
      </c>
      <c r="E2" s="5" t="n"/>
      <c r="F2" s="5" t="inlineStr">
        <is>
          <t>注：若区分文字/图片输入价格，需要分开呈现</t>
        </is>
      </c>
      <c r="G2" s="5" t="n"/>
      <c r="H2" s="5" t="inlineStr">
        <is>
          <t>注：若区分文字/图片输出价格，需要分开呈现</t>
        </is>
      </c>
      <c r="I2" s="5" t="n"/>
      <c r="J2" s="5" t="n"/>
      <c r="K2" s="5" t="n"/>
      <c r="L2" s="5" t="n"/>
      <c r="M2" s="5" t="n"/>
      <c r="N2" s="5" t="n"/>
      <c r="O2" s="4" t="n"/>
      <c r="P2" s="4" t="inlineStr">
        <is>
          <t>如分辨率/std&amp;pro模式等</t>
        </is>
      </c>
      <c r="Q2" s="4" t="inlineStr">
        <is>
          <t>图片按次计费时的调用张数</t>
        </is>
      </c>
      <c r="R2" s="4" t="inlineStr">
        <is>
          <t>视频/音频按时长计费时的秒数</t>
        </is>
      </c>
      <c r="S2" s="4" t="n"/>
      <c r="T2" s="4" t="n"/>
      <c r="U2" s="12" t="inlineStr">
        <is>
          <t>如：token、张、秒</t>
        </is>
      </c>
      <c r="V2" s="6" t="inlineStr">
        <is>
          <t>本币，= 总金额 × 折扣</t>
        </is>
      </c>
      <c r="W2" s="6" t="inlineStr">
        <is>
          <t>美金，= 结算金额（人民币） ÷ 汇率</t>
        </is>
      </c>
      <c r="X2" s="6" t="inlineStr">
        <is>
          <t>“是”= 本行单价×用量可还原原厂刊例</t>
        </is>
      </c>
      <c r="Y2" s="4" t="inlineStr">
        <is>
          <t>阶梯模型自动带入：缓存未命中(输入)单价，同 E</t>
        </is>
      </c>
      <c r="Z2" s="4" t="inlineStr">
        <is>
          <t>阶梯模型自动带入：缓存读单价，同 G</t>
        </is>
      </c>
      <c r="AA2" s="4" t="inlineStr">
        <is>
          <t>阶梯模型自动带入：输出单价，同 I</t>
        </is>
      </c>
      <c r="AB2" s="4" t="inlineStr">
        <is>
          <t>阶梯计费模型注明本行命中的档位；跨档行注明单价不适用；折扣为反推值时在此注明</t>
        </is>
      </c>
      <c r="AC2" s="14" t="inlineStr">
        <is>
          <t>单档行=按单价×用量之和自动核算；跨档行/按次计费行按表达式或按次单价现算，供 S 列换算人民币引用，不可编辑</t>
        </is>
      </c>
    </row>
    <row r="3">
      <c r="A3" s="17">
        <v>46266</v>
      </c>
      <c r="B3" s="1" t="s">
        <v>0</v>
      </c>
      <c r="C3" s="1" t="s">
        <v>1</v>
      </c>
      <c r="D3" s="8">
        <v>25646</v>
      </c>
      <c r="E3" s="1">
        <v>2.5</v>
      </c>
      <c r="F3" s="8">
        <v>0</v>
      </c>
      <c r="G3" s="1">
        <v>1.25</v>
      </c>
      <c r="H3" s="8">
        <v>3613</v>
      </c>
      <c r="I3" s="1">
        <v>10</v>
      </c>
      <c r="J3" s="8">
        <v>0</v>
      </c>
      <c r="K3" s="1">
        <v>3.125</v>
      </c>
      <c r="L3" s="8">
        <v>0</v>
      </c>
      <c r="M3" s="1">
        <v>5</v>
      </c>
      <c r="N3" s="8" t="str">
        <f>D3+F3+H3+J3+L3</f>
      </c>
      <c r="O3" s="8">
        <v>0</v>
      </c>
      <c r="Q3" s="8"/>
      <c r="S3" s="15" t="str">
        <f>(AC3+O3*10/1000)*7</f>
      </c>
      <c r="T3" s="16">
        <v>0.257</v>
      </c>
      <c r="V3" s="15" t="str">
        <f>S3*T3</f>
      </c>
      <c r="W3" s="15" t="str">
        <f>V3/7</f>
      </c>
      <c r="X3" s="1" t="s">
        <v>2</v>
      </c>
      <c r="AB3" s="1" t="s">
        <v>3</v>
      </c>
      <c r="AC3" s="15" t="str">
        <f>(D3*N(E3)+F3*N(G3)+H3*N(I3)+J3*N(K3)+L3*N(M3))/1000000</f>
      </c>
    </row>
    <row r="4">
      <c r="A4" s="17">
        <v>46266</v>
      </c>
      <c r="B4" s="1" t="s">
        <v>4</v>
      </c>
      <c r="C4" s="1" t="s">
        <v>1</v>
      </c>
      <c r="D4" s="8">
        <v>17723123</v>
      </c>
      <c r="E4" s="1">
        <v>0.25</v>
      </c>
      <c r="F4" s="8">
        <v>4627712</v>
      </c>
      <c r="G4" s="1">
        <v>0.025</v>
      </c>
      <c r="H4" s="8">
        <v>9843512</v>
      </c>
      <c r="I4" s="1">
        <v>2</v>
      </c>
      <c r="J4" s="8">
        <v>0</v>
      </c>
      <c r="K4" s="1">
        <v>0.3125</v>
      </c>
      <c r="L4" s="8">
        <v>0</v>
      </c>
      <c r="M4" s="1">
        <v>0.5</v>
      </c>
      <c r="N4" s="8" t="str">
        <f>D4+F4+H4+J4+L4</f>
      </c>
      <c r="O4" s="8">
        <v>0</v>
      </c>
      <c r="Q4" s="8"/>
      <c r="S4" s="15" t="str">
        <f>(AC4+O4*10/1000)*7</f>
      </c>
      <c r="T4" s="16">
        <v>0.257</v>
      </c>
      <c r="V4" s="15" t="str">
        <f>S4*T4</f>
      </c>
      <c r="W4" s="15" t="str">
        <f>V4/7</f>
      </c>
      <c r="X4" s="1" t="s">
        <v>2</v>
      </c>
      <c r="AB4" s="1" t="s">
        <v>3</v>
      </c>
      <c r="AC4" s="15" t="str">
        <f>(D4*N(E4)+F4*N(G4)+H4*N(I4)+J4*N(K4)+L4*N(M4))/1000000</f>
      </c>
    </row>
    <row r="5">
      <c r="A5" s="17">
        <v>46266</v>
      </c>
      <c r="B5" s="1" t="s">
        <v>5</v>
      </c>
      <c r="C5" s="1" t="s">
        <v>1</v>
      </c>
      <c r="D5" s="8">
        <v>704076</v>
      </c>
      <c r="E5" s="1" t="s">
        <v>6</v>
      </c>
      <c r="F5" s="8">
        <v>119552</v>
      </c>
      <c r="G5" s="1" t="s">
        <v>6</v>
      </c>
      <c r="H5" s="8">
        <v>6801</v>
      </c>
      <c r="I5" s="1" t="s">
        <v>6</v>
      </c>
      <c r="J5" s="8">
        <v>0</v>
      </c>
      <c r="K5" s="1" t="s">
        <v>6</v>
      </c>
      <c r="L5" s="8">
        <v>0</v>
      </c>
      <c r="M5" s="1" t="s">
        <v>6</v>
      </c>
      <c r="N5" s="8" t="str">
        <f>D5+F5+H5+J5+L5</f>
      </c>
      <c r="O5" s="8">
        <v>0</v>
      </c>
      <c r="Q5" s="8"/>
      <c r="S5" s="15" t="str">
        <f>(AC5+O5*10/1000)*7</f>
      </c>
      <c r="T5" s="16">
        <v>0.257</v>
      </c>
      <c r="V5" s="15" t="str">
        <f>S5*T5</f>
      </c>
      <c r="W5" s="15" t="str">
        <f>V5/7</f>
      </c>
      <c r="X5" s="1" t="s">
        <v>2</v>
      </c>
      <c r="AB5" s="1" t="s">
        <v>7</v>
      </c>
      <c r="AC5" s="15">
        <v>1.8435104999999996</v>
      </c>
    </row>
    <row r="6">
      <c r="A6" s="17">
        <v>46266</v>
      </c>
      <c r="B6" s="1" t="s">
        <v>5</v>
      </c>
      <c r="C6" s="1" t="s">
        <v>8</v>
      </c>
      <c r="D6" s="8">
        <v>4920</v>
      </c>
      <c r="E6" s="1" t="s">
        <v>6</v>
      </c>
      <c r="F6" s="8">
        <v>19200</v>
      </c>
      <c r="G6" s="1" t="s">
        <v>6</v>
      </c>
      <c r="H6" s="8">
        <v>901</v>
      </c>
      <c r="I6" s="1" t="s">
        <v>6</v>
      </c>
      <c r="J6" s="8">
        <v>0</v>
      </c>
      <c r="K6" s="1" t="s">
        <v>6</v>
      </c>
      <c r="L6" s="8">
        <v>0</v>
      </c>
      <c r="M6" s="1" t="s">
        <v>6</v>
      </c>
      <c r="N6" s="8" t="str">
        <f>D6+F6+H6+J6+L6</f>
      </c>
      <c r="O6" s="8">
        <v>0</v>
      </c>
      <c r="Q6" s="8"/>
      <c r="S6" s="15" t="str">
        <f>(AC6+O6*10/1000)*7</f>
      </c>
      <c r="T6" s="16">
        <v>0.239</v>
      </c>
      <c r="V6" s="15" t="str">
        <f>S6*T6</f>
      </c>
      <c r="W6" s="15" t="str">
        <f>V6/7</f>
      </c>
      <c r="X6" s="1" t="s">
        <v>2</v>
      </c>
      <c r="AB6" s="1" t="s">
        <v>9</v>
      </c>
      <c r="AC6" s="15">
        <v>0.018314999999999998</v>
      </c>
    </row>
    <row r="7">
      <c r="A7" s="17">
        <v>46266</v>
      </c>
      <c r="B7" s="1" t="s">
        <v>10</v>
      </c>
      <c r="C7" s="1" t="s">
        <v>8</v>
      </c>
      <c r="D7" s="8">
        <v>1532354</v>
      </c>
      <c r="E7" s="1" t="s">
        <v>6</v>
      </c>
      <c r="F7" s="8">
        <v>380317</v>
      </c>
      <c r="G7" s="1" t="s">
        <v>6</v>
      </c>
      <c r="H7" s="8">
        <v>140211</v>
      </c>
      <c r="I7" s="1" t="s">
        <v>6</v>
      </c>
      <c r="J7" s="8">
        <v>0</v>
      </c>
      <c r="K7" s="1" t="s">
        <v>6</v>
      </c>
      <c r="L7" s="8">
        <v>0</v>
      </c>
      <c r="M7" s="1" t="s">
        <v>6</v>
      </c>
      <c r="N7" s="8" t="str">
        <f>D7+F7+H7+J7+L7</f>
      </c>
      <c r="O7" s="8">
        <v>0</v>
      </c>
      <c r="Q7" s="8"/>
      <c r="S7" s="15" t="str">
        <f>(AC7+O7*10/1000)*7</f>
      </c>
      <c r="T7" s="16">
        <v>0.239</v>
      </c>
      <c r="V7" s="15" t="str">
        <f>S7*T7</f>
      </c>
      <c r="W7" s="15" t="str">
        <f>V7/7</f>
      </c>
      <c r="X7" s="1" t="s">
        <v>2</v>
      </c>
      <c r="AB7" s="1" t="s">
        <v>9</v>
      </c>
      <c r="AC7" s="15">
        <v>11.429463499999997</v>
      </c>
    </row>
    <row r="8">
      <c r="A8" s="17">
        <v>46266</v>
      </c>
      <c r="B8" s="1" t="s">
        <v>11</v>
      </c>
      <c r="C8" s="1" t="s">
        <v>12</v>
      </c>
      <c r="D8" s="8">
        <v>18027</v>
      </c>
      <c r="F8" s="8">
        <v>0</v>
      </c>
      <c r="H8" s="8">
        <v>26340</v>
      </c>
      <c r="J8" s="8">
        <v>0</v>
      </c>
      <c r="L8" s="8">
        <v>0</v>
      </c>
      <c r="N8" s="8" t="str">
        <f>D8+F8+H8+J8+L8</f>
      </c>
      <c r="O8" s="8">
        <v>0</v>
      </c>
      <c r="Q8" s="8">
        <v>15</v>
      </c>
      <c r="S8" s="15" t="str">
        <f>(AC8+O8*10/1000)*7</f>
      </c>
      <c r="T8" s="16">
        <v>0.107</v>
      </c>
      <c r="V8" s="15" t="str">
        <f>S8*T8</f>
      </c>
      <c r="W8" s="15" t="str">
        <f>V8/7</f>
      </c>
      <c r="X8" s="1" t="s">
        <v>2</v>
      </c>
      <c r="AB8" s="1" t="s">
        <v>13</v>
      </c>
      <c r="AC8" s="15">
        <v>1.8000000000000007</v>
      </c>
    </row>
    <row r="9">
      <c r="A9" s="17">
        <v>46266</v>
      </c>
      <c r="B9" s="1" t="s">
        <v>14</v>
      </c>
      <c r="C9" s="1" t="s">
        <v>15</v>
      </c>
      <c r="D9" s="8">
        <v>1657</v>
      </c>
      <c r="E9" s="1">
        <v>5</v>
      </c>
      <c r="F9" s="8">
        <v>3134876</v>
      </c>
      <c r="G9" s="1">
        <v>0.5</v>
      </c>
      <c r="H9" s="8">
        <v>26943</v>
      </c>
      <c r="I9" s="1">
        <v>25</v>
      </c>
      <c r="J9" s="8">
        <v>399349</v>
      </c>
      <c r="K9" s="1">
        <v>6.25</v>
      </c>
      <c r="L9" s="8">
        <v>0</v>
      </c>
      <c r="M9" s="1">
        <v>10</v>
      </c>
      <c r="N9" s="8" t="str">
        <f>D9+F9+H9+J9+L9</f>
      </c>
      <c r="O9" s="8">
        <v>0</v>
      </c>
      <c r="Q9" s="8"/>
      <c r="S9" s="15" t="str">
        <f>(AC9+O9*10/1000)*7</f>
      </c>
      <c r="T9" s="16">
        <v>0.171</v>
      </c>
      <c r="V9" s="15" t="str">
        <f>S9*T9</f>
      </c>
      <c r="W9" s="15" t="str">
        <f>V9/7</f>
      </c>
      <c r="X9" s="1" t="s">
        <v>2</v>
      </c>
      <c r="AB9" s="1" t="s">
        <v>13</v>
      </c>
      <c r="AC9" s="15" t="str">
        <f>(D9*N(E9)+F9*N(G9)+H9*N(I9)+J9*N(K9)+L9*N(M9))/1000000</f>
      </c>
    </row>
    <row r="10">
      <c r="A10" s="20" t="s">
        <v>16</v>
      </c>
      <c r="S10" s="18" t="str">
        <f>SUM(S3:S9)</f>
      </c>
      <c r="T10" s="19" t="str">
        <f>IF(S10=0,0,V10/S10)</f>
      </c>
      <c r="V10" s="18" t="str">
        <f>SUM(V3:V9)</f>
      </c>
      <c r="W10" s="18" t="str">
        <f>SUM(W3:W9)</f>
      </c>
      <c r="AC10" s="18" t="str">
        <f>SUM(AC3:AC9)</f>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唐文星</dc:creator>
  <dcterms:created xmlns:dcterms="http://purl.org/dc/terms/" xmlns:xsi="http://www.w3.org/2001/XMLSchema-instance" xsi:type="dcterms:W3CDTF">2026-07-01T17:22:00Z</dcterms:created>
  <dcterms:modified xmlns:dcterms="http://purl.org/dc/terms/" xmlns:xsi="http://www.w3.org/2001/XMLSchema-instance" xsi:type="dcterms:W3CDTF">2026-09-16T02:04:29Z</dcterms:modified>
  <cp:lastModifiedBy>LHJ</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1D9C6A0B536345C489979EFDDF1E1961_13</vt:lpwstr>
  </property>
  <property name="KSOProductBuildVer" fmtid="{D5CDD505-2E9C-101B-9397-08002B2CF9AE}" pid="3">
    <vt:lpwstr xmlns:vt="http://schemas.openxmlformats.org/officeDocument/2006/docPropsVTypes">2052-12.1.0.28043</vt:lpwstr>
  </property>
  <property name="CalculationRule" fmtid="{D5CDD505-2E9C-101B-9397-08002B2CF9AE}" pid="4">
    <vt:i4 xmlns:vt="http://schemas.openxmlformats.org/officeDocument/2006/docPropsVTypes">1</vt:i4>
  </property>
</Properties>
</file>